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tinos" sheetId="1" state="visible" r:id="rId3"/>
    <sheet name="Vuelos" sheetId="2" state="visible" r:id="rId4"/>
    <sheet name="Clientes" sheetId="3" state="visible" r:id="rId5"/>
    <sheet name="Reservas" sheetId="4" state="visible" r:id="rId6"/>
    <sheet name="Cotizad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<sst xmlns="http://schemas.openxmlformats.org/spreadsheetml/2006/main" count="83" uniqueCount="65">
  <si>
    <t xml:space="preserve">ID</t>
  </si>
  <si>
    <t xml:space="preserve">Ciudad</t>
  </si>
  <si>
    <t xml:space="preserve">País</t>
  </si>
  <si>
    <t xml:space="preserve">Aeropuerto</t>
  </si>
  <si>
    <t xml:space="preserve">Mejor época</t>
  </si>
  <si>
    <t xml:space="preserve">Descripción</t>
  </si>
  <si>
    <t xml:space="preserve">Cómo leer esta hoja</t>
  </si>
  <si>
    <t xml:space="preserve">Madrid</t>
  </si>
  <si>
    <t xml:space="preserve">España</t>
  </si>
  <si>
    <t xml:space="preserve">MAD</t>
  </si>
  <si>
    <t xml:space="preserve">Primavera y otoño</t>
  </si>
  <si>
    <t xml:space="preserve">Museos como el Prado, el parque del Retiro y una vida de barrio que no para hasta tarde.</t>
  </si>
  <si>
    <t xml:space="preserve">Esta es una TABLA: cada columna es un dato y cada fila es un destino. El ID es único y no se repite: sirve para conectar esta hoja con la hoja Vuelos.</t>
  </si>
  <si>
    <t xml:space="preserve">Barcelona</t>
  </si>
  <si>
    <t xml:space="preserve">BCN</t>
  </si>
  <si>
    <t xml:space="preserve">Mayo, junio y septiembre</t>
  </si>
  <si>
    <t xml:space="preserve">Arquitectura de Gaudí, playa urbana y buena comida en pocos kilómetros.</t>
  </si>
  <si>
    <t xml:space="preserve">Sevilla</t>
  </si>
  <si>
    <t xml:space="preserve">SVQ</t>
  </si>
  <si>
    <t xml:space="preserve">De marzo a mayo (el verano es muy caluroso)</t>
  </si>
  <si>
    <t xml:space="preserve">El Real Alcázar, la catedral y las calles del barrio de Santa Cruz, con aire andaluz.</t>
  </si>
  <si>
    <t xml:space="preserve">Ciudad de México</t>
  </si>
  <si>
    <t xml:space="preserve">México</t>
  </si>
  <si>
    <t xml:space="preserve">MEX</t>
  </si>
  <si>
    <t xml:space="preserve">De noviembre a abril (época seca)</t>
  </si>
  <si>
    <t xml:space="preserve">Centro histórico, museos y una de las cocinas más variadas de América.</t>
  </si>
  <si>
    <t xml:space="preserve">Cancún</t>
  </si>
  <si>
    <t xml:space="preserve">CUN</t>
  </si>
  <si>
    <t xml:space="preserve">De diciembre a abril</t>
  </si>
  <si>
    <t xml:space="preserve">Playas del Caribe, arrecifes y excursiones a sitios mayas cercanos.</t>
  </si>
  <si>
    <t xml:space="preserve">Cartagena de Indias</t>
  </si>
  <si>
    <t xml:space="preserve">Colombia</t>
  </si>
  <si>
    <t xml:space="preserve">CTG</t>
  </si>
  <si>
    <t xml:space="preserve">De diciembre a marzo (época seca)</t>
  </si>
  <si>
    <t xml:space="preserve">Ciudad amurallada, calles coloniales y atardeceres frente al mar.</t>
  </si>
  <si>
    <t xml:space="preserve">ID_Destino</t>
  </si>
  <si>
    <t xml:space="preserve">Ruta</t>
  </si>
  <si>
    <t xml:space="preserve">Precio (USD)</t>
  </si>
  <si>
    <t xml:space="preserve">ID_Destino conecta cada vuelo con la hoja Destinos (eso se llama relación). Ruta y Ciudad se buscan solos con fórmulas. Si cambias un precio (letra azul), el Cotizador se actualiza.</t>
  </si>
  <si>
    <t xml:space="preserve">Los precios son de EJEMPLO, puestos para practicar. No son tarifas reales.</t>
  </si>
  <si>
    <t xml:space="preserve">Nombre</t>
  </si>
  <si>
    <t xml:space="preserve">Correo</t>
  </si>
  <si>
    <t xml:space="preserve">María López</t>
  </si>
  <si>
    <t xml:space="preserve">maria.lopez@ejemplo.com</t>
  </si>
  <si>
    <t xml:space="preserve">El Salvador</t>
  </si>
  <si>
    <t xml:space="preserve">Tabla de clientes. Los nombres y correos son de EJEMPLO (personas inventadas) para practicar.</t>
  </si>
  <si>
    <t xml:space="preserve">Carlos Hernández</t>
  </si>
  <si>
    <t xml:space="preserve">carlos.hernandez@ejemplo.com</t>
  </si>
  <si>
    <t xml:space="preserve">Ana Martínez</t>
  </si>
  <si>
    <t xml:space="preserve">ana.martinez@ejemplo.com</t>
  </si>
  <si>
    <t xml:space="preserve">Guatemala</t>
  </si>
  <si>
    <t xml:space="preserve">ID_Cliente</t>
  </si>
  <si>
    <t xml:space="preserve">ID_Vuelo</t>
  </si>
  <si>
    <t xml:space="preserve">Boletos</t>
  </si>
  <si>
    <t xml:space="preserve">Fecha</t>
  </si>
  <si>
    <t xml:space="preserve">Cliente</t>
  </si>
  <si>
    <t xml:space="preserve">Total (USD)</t>
  </si>
  <si>
    <t xml:space="preserve">Una reserva une a un cliente con un vuelo: ID_Cliente viene de la hoja Clientes e ID_Vuelo viene de la hoja Vuelos. Cliente, Ruta, Precio y Total se calculan solos con fórmulas.</t>
  </si>
  <si>
    <t xml:space="preserve">Las reservas son de EJEMPLO, para practicar. La página no guarda reservas reales.</t>
  </si>
  <si>
    <t xml:space="preserve">Total de las reservas de ejemplo (USD)</t>
  </si>
  <si>
    <t xml:space="preserve">Subtotal (USD)</t>
  </si>
  <si>
    <t xml:space="preserve">Cómo usarla</t>
  </si>
  <si>
    <t xml:space="preserve">Cambia solo las celdas AMARILLAS de la columna Boletos (del 0 al 9). Subtotal y Total se calculan solos.</t>
  </si>
  <si>
    <t xml:space="preserve">Ejemplo puesto: 2 boletos a Madrid y 1 a Cancún = $2,120.00. Cámbialos por los tuyos.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</si>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</sst>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d/mm/yyyy"/>
    <numFmt numFmtId="167" formatCode="\$#,##0.00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sz val="11"/>
      <color rgb="FF008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1"/>
      <color rgb="FF0000FF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4F5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6BC"/>
      </left>
      <right style="thin">
        <color rgb="FF9FB6BC"/>
      </right>
      <top style="thin">
        <color rgb="FF9FB6BC"/>
      </top>
      <bottom style="thin">
        <color rgb="FF9FB6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6BC"/>
      <rgbColor rgb="FF808080"/>
      <rgbColor rgb="FF9999FF"/>
      <rgbColor rgb="FF993366"/>
      <rgbColor rgb="FFFFFFCC"/>
      <rgbColor rgb="FFE4F5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5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70"/>
    <col collapsed="false" customWidth="true" hidden="false" outlineLevel="0" max="8" min="8" style="0" width="45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94.5" hidden="false" customHeight="true" outlineLevel="0" collapsed="false">
      <c r="A2" s="3" t="n">
        <v>1</v>
      </c>
      <c r="B2" s="4" t="s">
        <v>7</v>
      </c>
      <c r="C2" s="4" t="s">
        <v>8</v>
      </c>
      <c r="D2" s="3" t="s">
        <v>9</v>
      </c>
      <c r="E2" s="4" t="s">
        <v>10</v>
      </c>
      <c r="F2" s="4" t="s">
        <v>11</v>
      </c>
      <c r="H2" s="5" t="s">
        <v>12</v>
      </c>
    </row>
    <row r="3" customFormat="false" ht="15" hidden="false" customHeight="false" outlineLevel="0" collapsed="false">
      <c r="A3" s="3" t="n">
        <v>2</v>
      </c>
      <c r="B3" s="4" t="s">
        <v>13</v>
      </c>
      <c r="C3" s="4" t="s">
        <v>8</v>
      </c>
      <c r="D3" s="3" t="s">
        <v>14</v>
      </c>
      <c r="E3" s="4" t="s">
        <v>15</v>
      </c>
      <c r="F3" s="4" t="s">
        <v>16</v>
      </c>
    </row>
    <row r="4" customFormat="false" ht="25.35" hidden="false" customHeight="false" outlineLevel="0" collapsed="false">
      <c r="A4" s="3" t="n">
        <v>3</v>
      </c>
      <c r="B4" s="4" t="s">
        <v>17</v>
      </c>
      <c r="C4" s="4" t="s">
        <v>8</v>
      </c>
      <c r="D4" s="3" t="s">
        <v>18</v>
      </c>
      <c r="E4" s="4" t="s">
        <v>19</v>
      </c>
      <c r="F4" s="4" t="s">
        <v>20</v>
      </c>
    </row>
    <row r="5" customFormat="false" ht="15" hidden="false" customHeight="false" outlineLevel="0" collapsed="false">
      <c r="A5" s="3" t="n">
        <v>4</v>
      </c>
      <c r="B5" s="4" t="s">
        <v>21</v>
      </c>
      <c r="C5" s="4" t="s">
        <v>22</v>
      </c>
      <c r="D5" s="3" t="s">
        <v>23</v>
      </c>
      <c r="E5" s="4" t="s">
        <v>24</v>
      </c>
      <c r="F5" s="4" t="s">
        <v>25</v>
      </c>
    </row>
    <row r="6" customFormat="false" ht="15" hidden="false" customHeight="false" outlineLevel="0" collapsed="false">
      <c r="A6" s="3" t="n">
        <v>5</v>
      </c>
      <c r="B6" s="4" t="s">
        <v>26</v>
      </c>
      <c r="C6" s="4" t="s">
        <v>22</v>
      </c>
      <c r="D6" s="3" t="s">
        <v>27</v>
      </c>
      <c r="E6" s="4" t="s">
        <v>28</v>
      </c>
      <c r="F6" s="4" t="s">
        <v>29</v>
      </c>
    </row>
    <row r="7" customFormat="false" ht="15" hidden="false" customHeight="false" outlineLevel="0" collapsed="false">
      <c r="A7" s="3" t="n">
        <v>6</v>
      </c>
      <c r="B7" s="4" t="s">
        <v>30</v>
      </c>
      <c r="C7" s="4" t="s">
        <v>31</v>
      </c>
      <c r="D7" s="3" t="s">
        <v>32</v>
      </c>
      <c r="E7" s="4" t="s">
        <v>33</v>
      </c>
      <c r="F7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7" min="7" style="0" width="48"/>
  </cols>
  <sheetData>
    <row r="1" customFormat="false" ht="24" hidden="false" customHeight="true" outlineLevel="0" collapsed="false">
      <c r="A1" s="1" t="s">
        <v>0</v>
      </c>
      <c r="B1" s="1" t="s">
        <v>35</v>
      </c>
      <c r="C1" s="1" t="s">
        <v>36</v>
      </c>
      <c r="D1" s="1" t="s">
        <v>1</v>
      </c>
      <c r="E1" s="1" t="s">
        <v>37</v>
      </c>
      <c r="G1" s="2" t="s">
        <v>6</v>
      </c>
    </row>
    <row r="2" customFormat="false" ht="94.5" hidden="false" customHeight="true" outlineLevel="0" collapsed="false">
      <c r="A2" s="3" t="n">
        <v>1</v>
      </c>
      <c r="B2" s="3" t="n">
        <v>1</v>
      </c>
      <c r="C2" s="6" t="str">
        <f aca="false">"SAL → "&amp;INDEX(Destinos!$D$2:$D$7,MATCH(B2,Destinos!$A$2:$A$7,0))</f>
        <v>SAL → MAD</v>
      </c>
      <c r="D2" s="6" t="str">
        <f aca="false">INDEX(Destinos!$B$2:$B$7,MATCH(B2,Destinos!$A$2:$A$7,0))</f>
        <v>Madrid</v>
      </c>
      <c r="E2" s="7" t="n">
        <v>850</v>
      </c>
      <c r="G2" s="5" t="s">
        <v>38</v>
      </c>
    </row>
    <row r="3" customFormat="false" ht="48" hidden="false" customHeight="true" outlineLevel="0" collapsed="false">
      <c r="A3" s="3" t="n">
        <v>2</v>
      </c>
      <c r="B3" s="3" t="n">
        <v>2</v>
      </c>
      <c r="C3" s="6" t="str">
        <f aca="false">"SAL → "&amp;INDEX(Destinos!$D$2:$D$7,MATCH(B3,Destinos!$A$2:$A$7,0))</f>
        <v>SAL → BCN</v>
      </c>
      <c r="D3" s="6" t="str">
        <f aca="false">INDEX(Destinos!$B$2:$B$7,MATCH(B3,Destinos!$A$2:$A$7,0))</f>
        <v>Barcelona</v>
      </c>
      <c r="E3" s="7" t="n">
        <v>900</v>
      </c>
      <c r="G3" s="5" t="s">
        <v>39</v>
      </c>
    </row>
    <row r="4" customFormat="false" ht="15" hidden="false" customHeight="false" outlineLevel="0" collapsed="false">
      <c r="A4" s="3" t="n">
        <v>3</v>
      </c>
      <c r="B4" s="3" t="n">
        <v>3</v>
      </c>
      <c r="C4" s="6" t="str">
        <f aca="false">"SAL → "&amp;INDEX(Destinos!$D$2:$D$7,MATCH(B4,Destinos!$A$2:$A$7,0))</f>
        <v>SAL → SVQ</v>
      </c>
      <c r="D4" s="6" t="str">
        <f aca="false">INDEX(Destinos!$B$2:$B$7,MATCH(B4,Destinos!$A$2:$A$7,0))</f>
        <v>Sevilla</v>
      </c>
      <c r="E4" s="7" t="n">
        <v>920</v>
      </c>
    </row>
    <row r="5" customFormat="false" ht="15" hidden="false" customHeight="false" outlineLevel="0" collapsed="false">
      <c r="A5" s="3" t="n">
        <v>4</v>
      </c>
      <c r="B5" s="3" t="n">
        <v>4</v>
      </c>
      <c r="C5" s="6" t="str">
        <f aca="false">"SAL → "&amp;INDEX(Destinos!$D$2:$D$7,MATCH(B5,Destinos!$A$2:$A$7,0))</f>
        <v>SAL → MEX</v>
      </c>
      <c r="D5" s="6" t="str">
        <f aca="false">INDEX(Destinos!$B$2:$B$7,MATCH(B5,Destinos!$A$2:$A$7,0))</f>
        <v>Ciudad de México</v>
      </c>
      <c r="E5" s="7" t="n">
        <v>380</v>
      </c>
    </row>
    <row r="6" customFormat="false" ht="15" hidden="false" customHeight="false" outlineLevel="0" collapsed="false">
      <c r="A6" s="3" t="n">
        <v>5</v>
      </c>
      <c r="B6" s="3" t="n">
        <v>5</v>
      </c>
      <c r="C6" s="6" t="str">
        <f aca="false">"SAL → "&amp;INDEX(Destinos!$D$2:$D$7,MATCH(B6,Destinos!$A$2:$A$7,0))</f>
        <v>SAL → CUN</v>
      </c>
      <c r="D6" s="6" t="str">
        <f aca="false">INDEX(Destinos!$B$2:$B$7,MATCH(B6,Destinos!$A$2:$A$7,0))</f>
        <v>Cancún</v>
      </c>
      <c r="E6" s="7" t="n">
        <v>420</v>
      </c>
    </row>
    <row r="7" customFormat="false" ht="15" hidden="false" customHeight="false" outlineLevel="0" collapsed="false">
      <c r="A7" s="3" t="n">
        <v>6</v>
      </c>
      <c r="B7" s="3" t="n">
        <v>6</v>
      </c>
      <c r="C7" s="6" t="str">
        <f aca="false">"SAL → "&amp;INDEX(Destinos!$D$2:$D$7,MATCH(B7,Destinos!$A$2:$A$7,0))</f>
        <v>SAL → CTG</v>
      </c>
      <c r="D7" s="6" t="str">
        <f aca="false">INDEX(Destinos!$B$2:$B$7,MATCH(B7,Destinos!$A$2:$A$7,0))</f>
        <v>Cartagena de Indias</v>
      </c>
      <c r="E7" s="7" t="n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6" style="0" width="45"/>
  </cols>
  <sheetData>
    <row r="1" customFormat="false" ht="24" hidden="false" customHeight="true" outlineLevel="0" collapsed="false">
      <c r="A1" s="1" t="s">
        <v>0</v>
      </c>
      <c r="B1" s="1" t="s">
        <v>40</v>
      </c>
      <c r="C1" s="1" t="s">
        <v>41</v>
      </c>
      <c r="D1" s="1" t="s">
        <v>2</v>
      </c>
      <c r="F1" s="2" t="s">
        <v>6</v>
      </c>
    </row>
    <row r="2" customFormat="false" ht="48" hidden="false" customHeight="true" outlineLevel="0" collapsed="false">
      <c r="A2" s="8" t="n">
        <v>1</v>
      </c>
      <c r="B2" s="9" t="s">
        <v>42</v>
      </c>
      <c r="C2" s="9" t="s">
        <v>43</v>
      </c>
      <c r="D2" s="9" t="s">
        <v>44</v>
      </c>
      <c r="F2" s="5" t="s">
        <v>45</v>
      </c>
    </row>
    <row r="3" customFormat="false" ht="15" hidden="false" customHeight="false" outlineLevel="0" collapsed="false">
      <c r="A3" s="8" t="n">
        <v>2</v>
      </c>
      <c r="B3" s="9" t="s">
        <v>46</v>
      </c>
      <c r="C3" s="9" t="s">
        <v>47</v>
      </c>
      <c r="D3" s="9" t="s">
        <v>44</v>
      </c>
    </row>
    <row r="4" customFormat="false" ht="15" hidden="false" customHeight="false" outlineLevel="0" collapsed="false">
      <c r="A4" s="8" t="n">
        <v>3</v>
      </c>
      <c r="B4" s="9" t="s">
        <v>48</v>
      </c>
      <c r="C4" s="9" t="s">
        <v>49</v>
      </c>
      <c r="D4" s="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9" min="7" style="0" width="14"/>
    <col collapsed="false" customWidth="true" hidden="false" outlineLevel="0" max="11" min="11" style="0" width="48"/>
  </cols>
  <sheetData>
    <row r="1" customFormat="false" ht="24" hidden="false" customHeight="true" outlineLevel="0" collapsed="false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36</v>
      </c>
      <c r="H1" s="1" t="s">
        <v>37</v>
      </c>
      <c r="I1" s="1" t="s">
        <v>56</v>
      </c>
      <c r="K1" s="2" t="s">
        <v>6</v>
      </c>
    </row>
    <row r="2" customFormat="false" ht="61.5" hidden="false" customHeight="true" outlineLevel="0" collapsed="false">
      <c r="A2" s="8" t="n">
        <v>1</v>
      </c>
      <c r="B2" s="8" t="n">
        <v>1</v>
      </c>
      <c r="C2" s="8" t="n">
        <v>1</v>
      </c>
      <c r="D2" s="8" t="n">
        <v>2</v>
      </c>
      <c r="E2" s="10" t="n">
        <v>46341</v>
      </c>
      <c r="F2" s="6" t="str">
        <f aca="false">INDEX(Clientes!$B$2:$B$4,MATCH(B2,Clientes!$A$2:$A$4,0))</f>
        <v>María López</v>
      </c>
      <c r="G2" s="6" t="str">
        <f aca="false">INDEX(Vuelos!$C$2:$C$7,MATCH(C2,Vuelos!$A$2:$A$7,0))</f>
        <v>SAL → MAD</v>
      </c>
      <c r="H2" s="11" t="n">
        <f aca="false">INDEX(Vuelos!$E$2:$E$7,MATCH(C2,Vuelos!$A$2:$A$7,0))</f>
        <v>850</v>
      </c>
      <c r="I2" s="12" t="n">
        <f aca="false">H2*D2</f>
        <v>1700</v>
      </c>
      <c r="K2" s="5" t="s">
        <v>57</v>
      </c>
    </row>
    <row r="3" customFormat="false" ht="33.75" hidden="false" customHeight="true" outlineLevel="0" collapsed="false">
      <c r="A3" s="8" t="n">
        <v>2</v>
      </c>
      <c r="B3" s="8" t="n">
        <v>2</v>
      </c>
      <c r="C3" s="8" t="n">
        <v>5</v>
      </c>
      <c r="D3" s="8" t="n">
        <v>1</v>
      </c>
      <c r="E3" s="10" t="n">
        <v>46346</v>
      </c>
      <c r="F3" s="6" t="str">
        <f aca="false">INDEX(Clientes!$B$2:$B$4,MATCH(B3,Clientes!$A$2:$A$4,0))</f>
        <v>Carlos Hernández</v>
      </c>
      <c r="G3" s="6" t="str">
        <f aca="false">INDEX(Vuelos!$C$2:$C$7,MATCH(C3,Vuelos!$A$2:$A$7,0))</f>
        <v>SAL → CUN</v>
      </c>
      <c r="H3" s="11" t="n">
        <f aca="false">INDEX(Vuelos!$E$2:$E$7,MATCH(C3,Vuelos!$A$2:$A$7,0))</f>
        <v>420</v>
      </c>
      <c r="I3" s="12" t="n">
        <f aca="false">H3*D3</f>
        <v>420</v>
      </c>
      <c r="K3" s="5" t="s">
        <v>58</v>
      </c>
    </row>
    <row r="4" customFormat="false" ht="15" hidden="false" customHeight="false" outlineLevel="0" collapsed="false">
      <c r="A4" s="8" t="n">
        <v>3</v>
      </c>
      <c r="B4" s="8" t="n">
        <v>3</v>
      </c>
      <c r="C4" s="8" t="n">
        <v>4</v>
      </c>
      <c r="D4" s="8" t="n">
        <v>3</v>
      </c>
      <c r="E4" s="10" t="n">
        <v>46361</v>
      </c>
      <c r="F4" s="6" t="str">
        <f aca="false">INDEX(Clientes!$B$2:$B$4,MATCH(B4,Clientes!$A$2:$A$4,0))</f>
        <v>Ana Martínez</v>
      </c>
      <c r="G4" s="6" t="str">
        <f aca="false">INDEX(Vuelos!$C$2:$C$7,MATCH(C4,Vuelos!$A$2:$A$7,0))</f>
        <v>SAL → MEX</v>
      </c>
      <c r="H4" s="11" t="n">
        <f aca="false">INDEX(Vuelos!$E$2:$E$7,MATCH(C4,Vuelos!$A$2:$A$7,0))</f>
        <v>380</v>
      </c>
      <c r="I4" s="12" t="n">
        <f aca="false">H4*D4</f>
        <v>1140</v>
      </c>
    </row>
    <row r="5" customFormat="false" ht="15" hidden="false" customHeight="false" outlineLevel="0" collapsed="false">
      <c r="A5" s="8" t="n">
        <v>4</v>
      </c>
      <c r="B5" s="8" t="n">
        <v>1</v>
      </c>
      <c r="C5" s="8" t="n">
        <v>6</v>
      </c>
      <c r="D5" s="8" t="n">
        <v>1</v>
      </c>
      <c r="E5" s="10" t="n">
        <v>46374</v>
      </c>
      <c r="F5" s="6" t="str">
        <f aca="false">INDEX(Clientes!$B$2:$B$4,MATCH(B5,Clientes!$A$2:$A$4,0))</f>
        <v>María López</v>
      </c>
      <c r="G5" s="6" t="str">
        <f aca="false">INDEX(Vuelos!$C$2:$C$7,MATCH(C5,Vuelos!$A$2:$A$7,0))</f>
        <v>SAL → CTG</v>
      </c>
      <c r="H5" s="11" t="n">
        <f aca="false">INDEX(Vuelos!$E$2:$E$7,MATCH(C5,Vuelos!$A$2:$A$7,0))</f>
        <v>450</v>
      </c>
      <c r="I5" s="12" t="n">
        <f aca="false">H5*D5</f>
        <v>450</v>
      </c>
      <c r="K5" s="2" t="s">
        <v>59</v>
      </c>
    </row>
    <row r="6" customFormat="false" ht="15" hidden="false" customHeight="false" outlineLevel="0" collapsed="false">
      <c r="K6" s="13" t="n">
        <f aca="false">SUM(I2:I5)</f>
        <v>3710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7" style="0" width="48"/>
  </cols>
  <sheetData>
    <row r="1" customFormat="false" ht="24" hidden="false" customHeight="true" outlineLevel="0" collapsed="false">
      <c r="A1" s="1" t="s">
        <v>36</v>
      </c>
      <c r="B1" s="1" t="s">
        <v>1</v>
      </c>
      <c r="C1" s="1" t="s">
        <v>37</v>
      </c>
      <c r="D1" s="1" t="s">
        <v>53</v>
      </c>
      <c r="E1" s="1" t="s">
        <v>60</v>
      </c>
      <c r="G1" s="2" t="s">
        <v>61</v>
      </c>
    </row>
    <row r="2" customFormat="false" ht="48" hidden="false" customHeight="true" outlineLevel="0" collapsed="false">
      <c r="A2" s="6" t="str">
        <f aca="false">Vuelos!C2</f>
        <v>SAL → MAD</v>
      </c>
      <c r="B2" s="6" t="str">
        <f aca="false">Vuelos!D2</f>
        <v>Madrid</v>
      </c>
      <c r="C2" s="11" t="n">
        <f aca="false">Vuelos!E2</f>
        <v>850</v>
      </c>
      <c r="D2" s="14" t="n">
        <v>2</v>
      </c>
      <c r="E2" s="12" t="n">
        <f aca="false">C2*D2</f>
        <v>1700</v>
      </c>
      <c r="G2" s="5" t="s">
        <v>62</v>
      </c>
    </row>
    <row r="3" customFormat="false" ht="48" hidden="false" customHeight="true" outlineLevel="0" collapsed="false">
      <c r="A3" s="6" t="str">
        <f aca="false">Vuelos!C3</f>
        <v>SAL → BCN</v>
      </c>
      <c r="B3" s="6" t="str">
        <f aca="false">Vuelos!D3</f>
        <v>Barcelona</v>
      </c>
      <c r="C3" s="11" t="n">
        <f aca="false">Vuelos!E3</f>
        <v>900</v>
      </c>
      <c r="D3" s="14" t="n">
        <v>0</v>
      </c>
      <c r="E3" s="12" t="n">
        <f aca="false">C3*D3</f>
        <v>0</v>
      </c>
      <c r="G3" s="5" t="s">
        <v>63</v>
      </c>
    </row>
    <row r="4" customFormat="false" ht="15" hidden="false" customHeight="false" outlineLevel="0" collapsed="false">
      <c r="A4" s="6" t="str">
        <f aca="false">Vuelos!C4</f>
        <v>SAL → SVQ</v>
      </c>
      <c r="B4" s="6" t="str">
        <f aca="false">Vuelos!D4</f>
        <v>Sevilla</v>
      </c>
      <c r="C4" s="11" t="n">
        <f aca="false">Vuelos!E4</f>
        <v>920</v>
      </c>
      <c r="D4" s="14" t="n">
        <v>0</v>
      </c>
      <c r="E4" s="12" t="n">
        <f aca="false">C4*D4</f>
        <v>0</v>
      </c>
    </row>
    <row r="5" customFormat="false" ht="15" hidden="false" customHeight="false" outlineLevel="0" collapsed="false">
      <c r="A5" s="6" t="str">
        <f aca="false">Vuelos!C5</f>
        <v>SAL → MEX</v>
      </c>
      <c r="B5" s="6" t="str">
        <f aca="false">Vuelos!D5</f>
        <v>Ciudad de México</v>
      </c>
      <c r="C5" s="11" t="n">
        <f aca="false">Vuelos!E5</f>
        <v>380</v>
      </c>
      <c r="D5" s="14" t="n">
        <v>0</v>
      </c>
      <c r="E5" s="12" t="n">
        <f aca="false">C5*D5</f>
        <v>0</v>
      </c>
    </row>
    <row r="6" customFormat="false" ht="15" hidden="false" customHeight="false" outlineLevel="0" collapsed="false">
      <c r="A6" s="6" t="str">
        <f aca="false">Vuelos!C6</f>
        <v>SAL → CUN</v>
      </c>
      <c r="B6" s="6" t="str">
        <f aca="false">Vuelos!D6</f>
        <v>Cancún</v>
      </c>
      <c r="C6" s="11" t="n">
        <f aca="false">Vuelos!E6</f>
        <v>420</v>
      </c>
      <c r="D6" s="14" t="n">
        <v>1</v>
      </c>
      <c r="E6" s="12" t="n">
        <f aca="false">C6*D6</f>
        <v>420</v>
      </c>
    </row>
    <row r="7" customFormat="false" ht="15" hidden="false" customHeight="false" outlineLevel="0" collapsed="false">
      <c r="A7" s="6" t="str">
        <f aca="false">Vuelos!C7</f>
        <v>SAL → CTG</v>
      </c>
      <c r="B7" s="6" t="str">
        <f aca="false">Vuelos!D7</f>
        <v>Cartagena de Indias</v>
      </c>
      <c r="C7" s="11" t="n">
        <f aca="false">Vuelos!E7</f>
        <v>450</v>
      </c>
      <c r="D7" s="14" t="n">
        <v>0</v>
      </c>
      <c r="E7" s="12" t="n">
        <f aca="false">C7*D7</f>
        <v>0</v>
      </c>
    </row>
    <row r="9" customFormat="false" ht="15" hidden="false" customHeight="false" outlineLevel="0" collapsed="false">
      <c r="A9" s="15" t="s">
        <v>64</v>
      </c>
      <c r="B9" s="15"/>
      <c r="C9" s="15"/>
      <c r="D9" s="16" t="n">
        <f aca="false">SUM(D2:D7)</f>
        <v>3</v>
      </c>
      <c r="E9" s="17" t="n">
        <f aca="false">SUM(E2:E7)</f>
        <v>2120</v>
      </c>
    </row>
  </sheetData>
  <dataValidations count="1">
    <dataValidation allowBlank="false" error="Escribe un número entero del 0 al 9." errorStyle="stop" errorTitle="Cantidad no válida" operator="between" showDropDown="false" showErrorMessage="true" showInputMessage="false" sqref="D2:D7" type="whole">
      <formula1>0</formula1>
      <formula2>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2026-10-30T03:18:16Z</dcterms:created>
  <dc:creator>openpyxl</dc:creator>
  <dc:description/>
  <dc:language>en-US</dc:language>
  <cp:lastModifiedBy/>
  <dcterms:modified xsi:type="dcterms:W3CDTF">2026-10-30T03:18:16Z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